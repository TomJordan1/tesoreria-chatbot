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8f01cc3324d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5" sheetId="1" r:id="R8f72590091384e28"/>
    <x:sheet xmlns:r="http://schemas.openxmlformats.org/officeDocument/2006/relationships" name="2026" sheetId="2" r:id="R482e688f100341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.00"/>
    <x:numFmt numFmtId="201" formatCode="dd/mm/yyyy"/>
    <x:numFmt numFmtId="202" formatCode="0"/>
  </x:numFmts>
  <x:fonts count="7">
    <x:font>
      <x:sz val="11"/>
      <x:name val="Carlito"/>
    </x:font>
    <x:font>
      <x:sz val="10"/>
      <x:color rgb="FF243746"/>
      <x:name val="Arial"/>
    </x:font>
    <x:font>
      <x:b/>
      <x:sz val="14"/>
      <x:color rgb="FF243746"/>
      <x:name val="Arial"/>
    </x:font>
    <x:font>
      <x:i/>
      <x:sz val="10"/>
      <x:color rgb="FF526577"/>
      <x:name val="Arial"/>
    </x:font>
    <x:font>
      <x:b/>
      <x:sz val="10"/>
      <x:color rgb="FF243746"/>
      <x:name val="Arial"/>
    </x:font>
    <x:font>
      <x:sz val="10"/>
      <x:color rgb="FF1662B8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1CF"/>
      </x:patternFill>
    </x:fill>
    <x:fill>
      <x:patternFill patternType="solid">
        <x:fgColor rgb="FF243746"/>
      </x:patternFill>
    </x:fill>
    <x:fill>
      <x:patternFill patternType="solid">
        <x:fgColor rgb="FFF2F5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FCBD3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b649e99753427e" /><Relationship Type="http://schemas.openxmlformats.org/officeDocument/2006/relationships/theme" Target="/xl/theme/theme1.xml" Id="R5e82e8df8fcd4eab" /><Relationship Type="http://schemas.openxmlformats.org/officeDocument/2006/relationships/sharedStrings" Target="/xl/sharedStrings.xml" Id="R3b0253b02e144fc1" /><Relationship Type="http://schemas.openxmlformats.org/officeDocument/2006/relationships/worksheet" Target="/xl/worksheets/sheet1.xml" Id="R8f72590091384e28" /><Relationship Type="http://schemas.openxmlformats.org/officeDocument/2006/relationships/worksheet" Target="/xl/worksheets/sheet2.xml" Id="R482e688f100341ad" /></Relationships>
</file>

<file path=xl/tables/table1.xml><?xml version="1.0" encoding="utf-8"?>
<x:table xmlns:x="http://schemas.openxmlformats.org/spreadsheetml/2006/main" id="1" name="MOV_X_2025" displayName="MOV_X_2025" ref="A6:M10" headerRowCount="1" totalsRowCount="0" totalsRowShown="0">
  <x:tableColumns count="13">
    <x:tableColumn id="1" name="CODIGO"/>
    <x:tableColumn id="2" name="FECHA"/>
    <x:tableColumn id="3" name="NRO_OPERACION"/>
    <x:tableColumn id="4" name="CONCEPTO"/>
    <x:tableColumn id="5" name="TIPO"/>
    <x:tableColumn id="6" name="ING_EG"/>
    <x:tableColumn id="7" name="MOTIVO"/>
    <x:tableColumn id="8" name="ACREEDOR"/>
    <x:tableColumn id="9" name="DEUDOR"/>
    <x:tableColumn id="10" name="ESTADO"/>
    <x:tableColumn id="11" name="INGRESO"/>
    <x:tableColumn id="12" name="EGRESO"/>
    <x:tableColumn id="13" name="SAL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V_X_2026" displayName="MOV_X_2026" ref="A6:M10" headerRowCount="1" totalsRowCount="0" totalsRowShown="0">
  <x:tableColumns count="13">
    <x:tableColumn id="1" name="CODIGO"/>
    <x:tableColumn id="2" name="FECHA"/>
    <x:tableColumn id="3" name="NRO_OPERACION"/>
    <x:tableColumn id="4" name="CONCEPTO"/>
    <x:tableColumn id="5" name="TIPO"/>
    <x:tableColumn id="6" name="ING_EG"/>
    <x:tableColumn id="7" name="MOTIVO"/>
    <x:tableColumn id="8" name="ACREEDOR"/>
    <x:tableColumn id="9" name="DEUDOR"/>
    <x:tableColumn id="10" name="ESTADO"/>
    <x:tableColumn id="11" name="INGRESO"/>
    <x:tableColumn id="12" name="EGRESO"/>
    <x:tableColumn id="13" name="SAL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d2b49e574144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8fd4fee0244b8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4" hidden="0" customWidth="1"/>
    <x:col min="4" max="4" width="34" hidden="0" customWidth="1"/>
    <x:col min="5" max="5" width="18" hidden="0" customWidth="1"/>
    <x:col min="6" max="6" width="17" hidden="0" customWidth="1"/>
    <x:col min="7" max="7" width="31" hidden="0" customWidth="1"/>
    <x:col min="8" max="8" width="26" hidden="0" customWidth="1"/>
    <x:col min="9" max="9" width="25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3" t="str">
        <x:v>Proyecto X · gestión 2025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6" t="str">
        <x:v>Saldo inicial (S/)</x:v>
      </x:c>
      <x:c r="B3" s="9" t="n">
        <x:v>1000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4" t="str">
        <x:v>Ejemplos ficticios. Importe en soles. Conserva las columnas CODIGO y SALDO.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4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</x:row>
    <x:row r="6" ht="28" customHeight="1">
      <x:c r="A6" s="12" t="str">
        <x:v>CODIGO</x:v>
      </x:c>
      <x:c r="B6" s="12" t="str">
        <x:v>FECHA</x:v>
      </x:c>
      <x:c r="C6" s="12" t="str">
        <x:v>NRO_OPERACION</x:v>
      </x:c>
      <x:c r="D6" s="12" t="str">
        <x:v>CONCEPTO</x:v>
      </x:c>
      <x:c r="E6" s="12" t="str">
        <x:v>TIPO</x:v>
      </x:c>
      <x:c r="F6" s="12" t="str">
        <x:v>ING_EG</x:v>
      </x:c>
      <x:c r="G6" s="12" t="str">
        <x:v>MOTIVO</x:v>
      </x:c>
      <x:c r="H6" s="12" t="str">
        <x:v>ACREEDOR</x:v>
      </x:c>
      <x:c r="I6" s="12" t="str">
        <x:v>DEUDOR</x:v>
      </x:c>
      <x:c r="J6" s="12" t="str">
        <x:v>ESTADO</x:v>
      </x:c>
      <x:c r="K6" s="12" t="str">
        <x:v>INGRESO</x:v>
      </x:c>
      <x:c r="L6" s="12" t="str">
        <x:v>EGRESO</x:v>
      </x:c>
      <x:c r="M6" s="12" t="str">
        <x:v>SALDO</x:v>
      </x:c>
    </x:row>
    <x:row r="7" ht="24" customHeight="1">
      <x:c r="A7" s="20" t="str">
        <x:f>IF(OR(B7="",C7=""),"",CHOOSE(IF(ISNUMBER(B7),MONTH(B7),VALUE(MID(B7,4,2))),"E","F","M","A","M","J","J","A","S","O","N","D")&amp;IF(ISNUMBER(B7),TEXT(B7,"ddmmyy"),LEFT(B7,2)&amp;MID(B7,4,2)&amp;RIGHT(B7,2))&amp;TEXT(C7,"00"))</x:f>
        <x:v>O16102501</x:v>
      </x:c>
      <x:c r="B7" s="16" t="d">
        <x:v>2025-10-16T00:00:00.000Z</x:v>
      </x:c>
      <x:c r="C7" s="17" t="n">
        <x:v>1</x:v>
      </x:c>
      <x:c r="D7" s="18" t="str">
        <x:v>Materiales para taller</x:v>
      </x:c>
      <x:c r="E7" s="18" t="str">
        <x:v>Compra</x:v>
      </x:c>
      <x:c r="F7" s="18" t="str">
        <x:v>Egreso</x:v>
      </x:c>
      <x:c r="G7" s="18" t="str">
        <x:v>Taller del proyecto</x:v>
      </x:c>
      <x:c r="H7" s="18" t="str">
        <x:v>Tienda Ejemplo</x:v>
      </x:c>
      <x:c r="I7" s="18" t="str">
        <x:v>Ana Ejemplo</x:v>
      </x:c>
      <x:c r="J7" s="18" t="str">
        <x:v>Pagado</x:v>
      </x:c>
      <x:c r="K7" s="19" t="n">
        <x:v>0</x:v>
      </x:c>
      <x:c r="L7" s="19" t="n">
        <x:v>25.5</x:v>
      </x:c>
      <x:c r="M7" s="21" t="n">
        <x:f>IF(B7="","",$B$3+SUM($K$7:K7)-SUM($L$7:L7))</x:f>
        <x:v>974.5</x:v>
      </x:c>
    </x:row>
    <x:row r="8" ht="24" customHeight="1">
      <x:c r="A8" s="20" t="str">
        <x:f>IF(OR(B8="",C8=""),"",CHOOSE(IF(ISNUMBER(B8),MONTH(B8),VALUE(MID(B8,4,2))),"E","F","M","A","M","J","J","A","S","O","N","D")&amp;IF(ISNUMBER(B8),TEXT(B8,"ddmmyy"),LEFT(B8,2)&amp;MID(B8,4,2)&amp;RIGHT(B8,2))&amp;TEXT(C8,"00"))</x:f>
        <x:v>O16102502</x:v>
      </x:c>
      <x:c r="B8" s="16" t="d">
        <x:v>2025-10-16T00:00:00.000Z</x:v>
      </x:c>
      <x:c r="C8" s="17" t="n">
        <x:v>2</x:v>
      </x:c>
      <x:c r="D8" s="18" t="str">
        <x:v>Aporte de integrantes</x:v>
      </x:c>
      <x:c r="E8" s="18" t="str">
        <x:v>Donación</x:v>
      </x:c>
      <x:c r="F8" s="18" t="str">
        <x:v>Ingreso</x:v>
      </x:c>
      <x:c r="G8" s="18" t="str">
        <x:v>Actividad del proyecto</x:v>
      </x:c>
      <x:c r="H8" s="18" t="str">
        <x:v>No aplica</x:v>
      </x:c>
      <x:c r="I8" s="18" t="str">
        <x:v>Luis Ejemplo</x:v>
      </x:c>
      <x:c r="J8" s="18" t="str">
        <x:v>Pagado</x:v>
      </x:c>
      <x:c r="K8" s="19" t="n">
        <x:v>100</x:v>
      </x:c>
      <x:c r="L8" s="19" t="n">
        <x:v>0</x:v>
      </x:c>
      <x:c r="M8" s="21" t="n">
        <x:f>IF(B8="","",$B$3+SUM($K$7:K8)-SUM($L$7:L8))</x:f>
        <x:v>1074.5</x:v>
      </x:c>
    </x:row>
    <x:row r="9" ht="24" customHeight="1">
      <x:c r="A9" s="20" t="str">
        <x:f>IF(OR(B9="",C9=""),"",CHOOSE(IF(ISNUMBER(B9),MONTH(B9),VALUE(MID(B9,4,2))),"E","F","M","A","M","J","J","A","S","O","N","D")&amp;IF(ISNUMBER(B9),TEXT(B9,"ddmmyy"),LEFT(B9,2)&amp;MID(B9,4,2)&amp;RIGHT(B9,2))&amp;TEXT(C9,"00"))</x:f>
        <x:v>O17102501</x:v>
      </x:c>
      <x:c r="B9" s="16" t="d">
        <x:v>2025-10-17T00:00:00.000Z</x:v>
      </x:c>
      <x:c r="C9" s="17" t="n">
        <x:v>1</x:v>
      </x:c>
      <x:c r="D9" s="18" t="str">
        <x:v>Transporte de materiales</x:v>
      </x:c>
      <x:c r="E9" s="18" t="str">
        <x:v>Compra</x:v>
      </x:c>
      <x:c r="F9" s="18" t="str">
        <x:v>Egreso</x:v>
      </x:c>
      <x:c r="G9" s="18" t="str">
        <x:v>Traslado al taller</x:v>
      </x:c>
      <x:c r="H9" s="18" t="str">
        <x:v>Transporte Ejemplo</x:v>
      </x:c>
      <x:c r="I9" s="18" t="str">
        <x:v>Ana Ejemplo</x:v>
      </x:c>
      <x:c r="J9" s="18" t="str">
        <x:v>Pagado</x:v>
      </x:c>
      <x:c r="K9" s="19" t="n">
        <x:v>0</x:v>
      </x:c>
      <x:c r="L9" s="19" t="n">
        <x:v>40</x:v>
      </x:c>
      <x:c r="M9" s="21" t="n">
        <x:f>IF(B9="","",$B$3+SUM($K$7:K9)-SUM($L$7:L9))</x:f>
        <x:v>1034.5</x:v>
      </x:c>
    </x:row>
    <x:row r="10" ht="24" customHeight="1">
      <x:c r="A10" s="20" t="str">
        <x:f>IF(OR(B10="",C10=""),"",CHOOSE(IF(ISNUMBER(B10),MONTH(B10),VALUE(MID(B10,4,2))),"E","F","M","A","M","J","J","A","S","O","N","D")&amp;IF(ISNUMBER(B10),TEXT(B10,"ddmmyy"),LEFT(B10,2)&amp;MID(B10,4,2)&amp;RIGHT(B10,2))&amp;TEXT(C10,"00"))</x:f>
      </x:c>
      <x:c r="B10" s="16"/>
      <x:c r="C10" s="17"/>
      <x:c r="D10" s="18"/>
      <x:c r="E10" s="18"/>
      <x:c r="F10" s="18"/>
      <x:c r="G10" s="18"/>
      <x:c r="H10" s="18"/>
      <x:c r="I10" s="18"/>
      <x:c r="J10" s="18"/>
      <x:c r="K10" s="19"/>
      <x:c r="L10" s="19"/>
      <x:c r="M10" s="21" t="str">
        <x:f>IF(B10="","",$B$3+SUM($K$7:K10)-SUM($L$7:L10))</x:f>
      </x:c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</x:sheetData>
  <x:dataValidations count="2">
    <x:dataValidation type="list" sqref="F7:F100">
      <x:formula1>"Ingreso,Egreso"</x:formula1>
    </x:dataValidation>
    <x:dataValidation type="list" sqref="J7:J100">
      <x:formula1>"Pagado,Pendiente,Rechazado,No determinado"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d2b49e574144b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4" hidden="0" customWidth="1"/>
    <x:col min="4" max="4" width="34" hidden="0" customWidth="1"/>
    <x:col min="5" max="5" width="18" hidden="0" customWidth="1"/>
    <x:col min="6" max="6" width="17" hidden="0" customWidth="1"/>
    <x:col min="7" max="7" width="31" hidden="0" customWidth="1"/>
    <x:col min="8" max="8" width="26" hidden="0" customWidth="1"/>
    <x:col min="9" max="9" width="25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3" t="str">
        <x:v>Proyecto X · gestión 2026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6" t="str">
        <x:v>Saldo inicial (S/)</x:v>
      </x:c>
      <x:c r="B3" s="9" t="n">
        <x:v>1000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4" t="str">
        <x:v>Ejemplos ficticios. Importe en soles. Conserva las columnas CODIGO y SALDO.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4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</x:row>
    <x:row r="6" ht="28" customHeight="1">
      <x:c r="A6" s="12" t="str">
        <x:v>CODIGO</x:v>
      </x:c>
      <x:c r="B6" s="12" t="str">
        <x:v>FECHA</x:v>
      </x:c>
      <x:c r="C6" s="12" t="str">
        <x:v>NRO_OPERACION</x:v>
      </x:c>
      <x:c r="D6" s="12" t="str">
        <x:v>CONCEPTO</x:v>
      </x:c>
      <x:c r="E6" s="12" t="str">
        <x:v>TIPO</x:v>
      </x:c>
      <x:c r="F6" s="12" t="str">
        <x:v>ING_EG</x:v>
      </x:c>
      <x:c r="G6" s="12" t="str">
        <x:v>MOTIVO</x:v>
      </x:c>
      <x:c r="H6" s="12" t="str">
        <x:v>ACREEDOR</x:v>
      </x:c>
      <x:c r="I6" s="12" t="str">
        <x:v>DEUDOR</x:v>
      </x:c>
      <x:c r="J6" s="12" t="str">
        <x:v>ESTADO</x:v>
      </x:c>
      <x:c r="K6" s="12" t="str">
        <x:v>INGRESO</x:v>
      </x:c>
      <x:c r="L6" s="12" t="str">
        <x:v>EGRESO</x:v>
      </x:c>
      <x:c r="M6" s="12" t="str">
        <x:v>SALDO</x:v>
      </x:c>
    </x:row>
    <x:row r="7" ht="24" customHeight="1">
      <x:c r="A7" s="20" t="str">
        <x:f>IF(OR(B7="",C7=""),"",CHOOSE(IF(ISNUMBER(B7),MONTH(B7),VALUE(MID(B7,4,2))),"E","F","M","A","M","J","J","A","S","O","N","D")&amp;IF(ISNUMBER(B7),TEXT(B7,"ddmmyy"),LEFT(B7,2)&amp;MID(B7,4,2)&amp;RIGHT(B7,2))&amp;TEXT(C7,"00"))</x:f>
        <x:v>O16102601</x:v>
      </x:c>
      <x:c r="B7" s="16" t="d">
        <x:v>2026-10-16T00:00:00.000Z</x:v>
      </x:c>
      <x:c r="C7" s="17" t="n">
        <x:v>1</x:v>
      </x:c>
      <x:c r="D7" s="18" t="str">
        <x:v>Materiales para taller</x:v>
      </x:c>
      <x:c r="E7" s="18" t="str">
        <x:v>Compra</x:v>
      </x:c>
      <x:c r="F7" s="18" t="str">
        <x:v>Egreso</x:v>
      </x:c>
      <x:c r="G7" s="18" t="str">
        <x:v>Taller del proyecto</x:v>
      </x:c>
      <x:c r="H7" s="18" t="str">
        <x:v>Tienda Ejemplo</x:v>
      </x:c>
      <x:c r="I7" s="18" t="str">
        <x:v>Ana Ejemplo</x:v>
      </x:c>
      <x:c r="J7" s="18" t="str">
        <x:v>Pagado</x:v>
      </x:c>
      <x:c r="K7" s="19" t="n">
        <x:v>0</x:v>
      </x:c>
      <x:c r="L7" s="19" t="n">
        <x:v>25.5</x:v>
      </x:c>
      <x:c r="M7" s="21" t="n">
        <x:f>IF(B7="","",$B$3+SUM($K$7:K7)-SUM($L$7:L7))</x:f>
        <x:v>974.5</x:v>
      </x:c>
    </x:row>
    <x:row r="8" ht="24" customHeight="1">
      <x:c r="A8" s="20" t="str">
        <x:f>IF(OR(B8="",C8=""),"",CHOOSE(IF(ISNUMBER(B8),MONTH(B8),VALUE(MID(B8,4,2))),"E","F","M","A","M","J","J","A","S","O","N","D")&amp;IF(ISNUMBER(B8),TEXT(B8,"ddmmyy"),LEFT(B8,2)&amp;MID(B8,4,2)&amp;RIGHT(B8,2))&amp;TEXT(C8,"00"))</x:f>
        <x:v>O16102602</x:v>
      </x:c>
      <x:c r="B8" s="16" t="d">
        <x:v>2026-10-16T00:00:00.000Z</x:v>
      </x:c>
      <x:c r="C8" s="17" t="n">
        <x:v>2</x:v>
      </x:c>
      <x:c r="D8" s="18" t="str">
        <x:v>Aporte de integrantes</x:v>
      </x:c>
      <x:c r="E8" s="18" t="str">
        <x:v>Donación</x:v>
      </x:c>
      <x:c r="F8" s="18" t="str">
        <x:v>Ingreso</x:v>
      </x:c>
      <x:c r="G8" s="18" t="str">
        <x:v>Actividad del proyecto</x:v>
      </x:c>
      <x:c r="H8" s="18" t="str">
        <x:v>No aplica</x:v>
      </x:c>
      <x:c r="I8" s="18" t="str">
        <x:v>Luis Ejemplo</x:v>
      </x:c>
      <x:c r="J8" s="18" t="str">
        <x:v>Pagado</x:v>
      </x:c>
      <x:c r="K8" s="19" t="n">
        <x:v>100</x:v>
      </x:c>
      <x:c r="L8" s="19" t="n">
        <x:v>0</x:v>
      </x:c>
      <x:c r="M8" s="21" t="n">
        <x:f>IF(B8="","",$B$3+SUM($K$7:K8)-SUM($L$7:L8))</x:f>
        <x:v>1074.5</x:v>
      </x:c>
    </x:row>
    <x:row r="9" ht="24" customHeight="1">
      <x:c r="A9" s="20" t="str">
        <x:f>IF(OR(B9="",C9=""),"",CHOOSE(IF(ISNUMBER(B9),MONTH(B9),VALUE(MID(B9,4,2))),"E","F","M","A","M","J","J","A","S","O","N","D")&amp;IF(ISNUMBER(B9),TEXT(B9,"ddmmyy"),LEFT(B9,2)&amp;MID(B9,4,2)&amp;RIGHT(B9,2))&amp;TEXT(C9,"00"))</x:f>
        <x:v>O17102601</x:v>
      </x:c>
      <x:c r="B9" s="16" t="d">
        <x:v>2026-10-17T00:00:00.000Z</x:v>
      </x:c>
      <x:c r="C9" s="17" t="n">
        <x:v>1</x:v>
      </x:c>
      <x:c r="D9" s="18" t="str">
        <x:v>Transporte de materiales</x:v>
      </x:c>
      <x:c r="E9" s="18" t="str">
        <x:v>Compra</x:v>
      </x:c>
      <x:c r="F9" s="18" t="str">
        <x:v>Egreso</x:v>
      </x:c>
      <x:c r="G9" s="18" t="str">
        <x:v>Traslado al taller</x:v>
      </x:c>
      <x:c r="H9" s="18" t="str">
        <x:v>Transporte Ejemplo</x:v>
      </x:c>
      <x:c r="I9" s="18" t="str">
        <x:v>Ana Ejemplo</x:v>
      </x:c>
      <x:c r="J9" s="18" t="str">
        <x:v>Pagado</x:v>
      </x:c>
      <x:c r="K9" s="19" t="n">
        <x:v>0</x:v>
      </x:c>
      <x:c r="L9" s="19" t="n">
        <x:v>40</x:v>
      </x:c>
      <x:c r="M9" s="21" t="n">
        <x:f>IF(B9="","",$B$3+SUM($K$7:K9)-SUM($L$7:L9))</x:f>
        <x:v>1034.5</x:v>
      </x:c>
    </x:row>
    <x:row r="10" ht="24" customHeight="1">
      <x:c r="A10" s="20" t="str">
        <x:f>IF(OR(B10="",C10=""),"",CHOOSE(IF(ISNUMBER(B10),MONTH(B10),VALUE(MID(B10,4,2))),"E","F","M","A","M","J","J","A","S","O","N","D")&amp;IF(ISNUMBER(B10),TEXT(B10,"ddmmyy"),LEFT(B10,2)&amp;MID(B10,4,2)&amp;RIGHT(B10,2))&amp;TEXT(C10,"00"))</x:f>
      </x:c>
      <x:c r="B10" s="16"/>
      <x:c r="C10" s="17"/>
      <x:c r="D10" s="18"/>
      <x:c r="E10" s="18"/>
      <x:c r="F10" s="18"/>
      <x:c r="G10" s="18"/>
      <x:c r="H10" s="18"/>
      <x:c r="I10" s="18"/>
      <x:c r="J10" s="18"/>
      <x:c r="K10" s="19"/>
      <x:c r="L10" s="19"/>
      <x:c r="M10" s="21" t="str">
        <x:f>IF(B10="","",$B$3+SUM($K$7:K10)-SUM($L$7:L10))</x:f>
      </x:c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</x:sheetData>
  <x:dataValidations count="2">
    <x:dataValidation type="list" sqref="F7:F100">
      <x:formula1>"Ingreso,Egreso"</x:formula1>
    </x:dataValidation>
    <x:dataValidation type="list" sqref="J7:J100">
      <x:formula1>"Pagado,Pendiente,Rechazado,No determinado"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8fd4fee0244b89"/>
  </x:tableParts>
</x:worksheet>
</file>